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egree (Murdoch)\Birdge\"/>
    </mc:Choice>
  </mc:AlternateContent>
  <xr:revisionPtr revIDLastSave="0" documentId="13_ncr:1_{29AD3C53-D6E5-4204-BDE0-0D5BCDFE8E33}" xr6:coauthVersionLast="47" xr6:coauthVersionMax="47" xr10:uidLastSave="{00000000-0000-0000-0000-000000000000}"/>
  <bookViews>
    <workbookView xWindow="-120" yWindow="-120" windowWidth="29040" windowHeight="15720" activeTab="2" xr2:uid="{4C23BAC2-A79D-49E2-8042-10DC6A26DF63}"/>
  </bookViews>
  <sheets>
    <sheet name="Analysis" sheetId="1" r:id="rId1"/>
    <sheet name="Printer A" sheetId="3" r:id="rId2"/>
    <sheet name="Printer B" sheetId="4" r:id="rId3"/>
    <sheet name="Summary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C11" i="5"/>
  <c r="C12" i="5" s="1"/>
  <c r="C13" i="5" s="1"/>
  <c r="C14" i="5" s="1"/>
  <c r="C15" i="5" s="1"/>
  <c r="B12" i="5"/>
  <c r="B13" i="5" s="1"/>
  <c r="B14" i="5" s="1"/>
  <c r="B15" i="5" s="1"/>
  <c r="B11" i="5"/>
  <c r="D6" i="5"/>
  <c r="D7" i="5"/>
  <c r="D5" i="5"/>
  <c r="E10" i="4"/>
  <c r="E9" i="4"/>
  <c r="E8" i="4"/>
  <c r="E7" i="4"/>
  <c r="E6" i="4"/>
  <c r="E6" i="3"/>
  <c r="E7" i="3"/>
  <c r="E8" i="3"/>
  <c r="E9" i="3"/>
  <c r="E10" i="3" s="1"/>
  <c r="E5" i="3"/>
  <c r="E11" i="4" l="1"/>
</calcChain>
</file>

<file path=xl/sharedStrings.xml><?xml version="1.0" encoding="utf-8"?>
<sst xmlns="http://schemas.openxmlformats.org/spreadsheetml/2006/main" count="128" uniqueCount="95">
  <si>
    <t>PRINTER MODELS</t>
  </si>
  <si>
    <t>Printer</t>
  </si>
  <si>
    <t>Brand</t>
  </si>
  <si>
    <t>Model</t>
  </si>
  <si>
    <t>Type</t>
  </si>
  <si>
    <t>Category</t>
  </si>
  <si>
    <t>Condition</t>
  </si>
  <si>
    <t>Unit</t>
  </si>
  <si>
    <t>Value</t>
  </si>
  <si>
    <t>Remarks</t>
  </si>
  <si>
    <t>Epson</t>
  </si>
  <si>
    <t>Laser</t>
  </si>
  <si>
    <t>Ink Bottles</t>
  </si>
  <si>
    <t>small-to-medium offices</t>
  </si>
  <si>
    <t>CALCULATING CONSUMPTION</t>
  </si>
  <si>
    <t>Year</t>
  </si>
  <si>
    <t>Printing per week</t>
  </si>
  <si>
    <t>Electrical Cost</t>
  </si>
  <si>
    <t>cents/kWh</t>
  </si>
  <si>
    <t>Reams of paper (500pcs)</t>
  </si>
  <si>
    <t>SGD/Reams</t>
  </si>
  <si>
    <t>Default Assumption</t>
  </si>
  <si>
    <t>Power on per week</t>
  </si>
  <si>
    <t>Period to consider</t>
  </si>
  <si>
    <t>hours/week</t>
  </si>
  <si>
    <t>Pages/week</t>
  </si>
  <si>
    <t>Weeks Per Year</t>
  </si>
  <si>
    <t>Week</t>
  </si>
  <si>
    <t>Based on Lyreco office supplies order</t>
  </si>
  <si>
    <t>Fixed Value</t>
  </si>
  <si>
    <t>Printer A</t>
  </si>
  <si>
    <t>Printer B</t>
  </si>
  <si>
    <t xml:space="preserve">TCO ANALYSIS - PRINTER COMPARISON </t>
  </si>
  <si>
    <t>Brother</t>
  </si>
  <si>
    <t>DCP-L2640DW Laser Printer</t>
  </si>
  <si>
    <t>EcoTank L4360 </t>
  </si>
  <si>
    <t>TCO ANALYSIS - PRINTER A  | BROTHER DCP-L2640DW Laser Printer</t>
  </si>
  <si>
    <t>Desciption</t>
  </si>
  <si>
    <t>Unit Consumed</t>
  </si>
  <si>
    <t>Source</t>
  </si>
  <si>
    <t>Based on SP Utilities average Electric cost in Singapore ~ 29.72 o/GST</t>
  </si>
  <si>
    <t>Unit Cost of Product</t>
  </si>
  <si>
    <t>UNIT PRICE (SGD)</t>
  </si>
  <si>
    <t>Total Cost (SGD)</t>
  </si>
  <si>
    <t xml:space="preserve">Black Ink Cartridge ~ (TN2560XL) </t>
  </si>
  <si>
    <t>Fixed</t>
  </si>
  <si>
    <t>Varies</t>
  </si>
  <si>
    <t>Paper (Reams of 500)</t>
  </si>
  <si>
    <t>Broher Official web ~ 3000 pages per cartridge</t>
  </si>
  <si>
    <t xml:space="preserve">Broher Official web </t>
  </si>
  <si>
    <t xml:space="preserve">Maintainance </t>
  </si>
  <si>
    <t>TOTAL COST OF OWNERSHIP</t>
  </si>
  <si>
    <t>$50.00/year estimate, cleaning and adding oil</t>
  </si>
  <si>
    <t>Source / Remarks</t>
  </si>
  <si>
    <t>Lazada Epson Official Shop</t>
  </si>
  <si>
    <t>Electricity (Printer 0.013kWh ~ 40h/week)</t>
  </si>
  <si>
    <t>Electricity (Printer 0.043kWh ~ 40h/week)</t>
  </si>
  <si>
    <t>ink bottle (Black/Cyan/Magenta/Yellow)</t>
  </si>
  <si>
    <t>Epson Official Website 4 colour averagely print 7000pg</t>
  </si>
  <si>
    <t>LifeSpan of 2 year per machine</t>
  </si>
  <si>
    <t xml:space="preserve">Replacement of Printer </t>
  </si>
  <si>
    <t>0.013kWh x 40h x 260 week x S$0.29</t>
  </si>
  <si>
    <t>0.043kWh x 40h x 260 week x S$0.29</t>
  </si>
  <si>
    <t>COST SUMMARY</t>
  </si>
  <si>
    <t>Price Difference</t>
  </si>
  <si>
    <t>Conclusion</t>
  </si>
  <si>
    <t>5 Years of TCO cost</t>
  </si>
  <si>
    <t>Printer A (Laser)</t>
  </si>
  <si>
    <t>Cost of Printing Per Page</t>
  </si>
  <si>
    <t>Cost of Printer</t>
  </si>
  <si>
    <t>Printer B (InkJet)</t>
  </si>
  <si>
    <t>InkJet</t>
  </si>
  <si>
    <t>5-Year Cost Projection</t>
  </si>
  <si>
    <t>Inkjet</t>
  </si>
  <si>
    <t>Laser Annual</t>
  </si>
  <si>
    <t>InkJet Annual</t>
  </si>
  <si>
    <t>Year 1</t>
  </si>
  <si>
    <t>Year 2</t>
  </si>
  <si>
    <t>Year 3</t>
  </si>
  <si>
    <t>Year 4</t>
  </si>
  <si>
    <t>Year 5</t>
  </si>
  <si>
    <t>Based on the TCO which printer is the “best”?</t>
  </si>
  <si>
    <t>Would your answer be the same for a home user who prints 5 pages per week?</t>
  </si>
  <si>
    <t>What other factors could/should we have considered apart from the TCO?</t>
  </si>
  <si>
    <t>Knowing something about the cost structure of printers, what would you look for in a large workgroup printer?</t>
  </si>
  <si>
    <t>What is the time period where both printers will cost the same?</t>
  </si>
  <si>
    <t>REFLECTION QUESTION</t>
  </si>
  <si>
    <t>Question</t>
  </si>
  <si>
    <t>Answer</t>
  </si>
  <si>
    <t>InkJet(Epson EcoTank L4360) as it is lower in cost and are less cheaper for printing per page.</t>
  </si>
  <si>
    <t>No, as the InkJet is much more cheaper in both ink changes and cost per page are cheaper, starting up a laser printer is not a great idea as the power ussage are also higher for pinting only 5 pages per week making it not suitable</t>
  </si>
  <si>
    <t>Print Quality, Speed, Noise, features such as scan, send files, wireless printing, Acceptable printing sizes, color printing.</t>
  </si>
  <si>
    <t>Low Cost per page, Duplex, High duty Cycle. Network and Multi User Support, Energy efficientcy, Maintainance and Reliability</t>
  </si>
  <si>
    <t>Around year 2, May reference the table above ~ 5 - Year Cost Projection</t>
  </si>
  <si>
    <t>TCO ANALYSIS - PRINTER B  | Epson EcoTank L4360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</si>
</sst>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[$SGD]\ * #,##0.00_-;\-[$SGD]\ * #,##0.00_-;_-[$SGD]\ * &quot;-&quot;??_-;_-@_-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Arial"/>
      <family val="2"/>
    </font>
    <font>
      <b/>
      <u/>
      <sz val="25"/>
      <color theme="0"/>
      <name val="Arial"/>
      <family val="2"/>
    </font>
    <font>
      <b/>
      <u/>
      <sz val="20"/>
      <color theme="0"/>
      <name val="Arial"/>
      <family val="2"/>
    </font>
    <font>
      <b/>
      <sz val="13"/>
      <color theme="0"/>
      <name val="Arial"/>
      <family val="2"/>
    </font>
    <font>
      <b/>
      <u/>
      <sz val="18"/>
      <color theme="0"/>
      <name val="Arial"/>
      <family val="2"/>
    </font>
    <font>
      <b/>
      <sz val="12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2" tint="-0.499984740745262"/>
      <name val="Arial"/>
      <family val="2"/>
    </font>
    <font>
      <sz val="8"/>
      <name val="Aptos Narrow"/>
      <family val="2"/>
      <scheme val="minor"/>
    </font>
    <font>
      <sz val="10"/>
      <color theme="2" tint="-0.89999084444715716"/>
      <name val="Arial"/>
      <family val="2"/>
    </font>
    <font>
      <sz val="11"/>
      <color rgb="FFC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164" fontId="11" fillId="3" borderId="1" xfId="1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horizontal="right" vertical="center"/>
    </xf>
    <xf numFmtId="164" fontId="12" fillId="9" borderId="1" xfId="0" applyNumberFormat="1" applyFont="1" applyFill="1" applyBorder="1" applyAlignment="1">
      <alignment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5" fillId="10" borderId="1" xfId="0" applyFont="1" applyFill="1" applyBorder="1" applyAlignment="1">
      <alignment horizontal="left" vertical="center" wrapText="1"/>
    </xf>
    <xf numFmtId="164" fontId="0" fillId="3" borderId="1" xfId="1" applyNumberFormat="1" applyFon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164" fontId="16" fillId="3" borderId="1" xfId="0" applyNumberFormat="1" applyFont="1" applyFill="1" applyBorder="1" applyAlignment="1">
      <alignment vertical="center"/>
    </xf>
    <xf numFmtId="0" fontId="2" fillId="8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64" fontId="0" fillId="3" borderId="12" xfId="1" applyNumberFormat="1" applyFont="1" applyFill="1" applyBorder="1" applyAlignment="1">
      <alignment horizontal="center" vertical="center" wrapText="1"/>
    </xf>
    <xf numFmtId="164" fontId="0" fillId="3" borderId="10" xfId="1" applyNumberFormat="1" applyFont="1" applyFill="1" applyBorder="1" applyAlignment="1">
      <alignment horizontal="center" vertical="center" wrapText="1"/>
    </xf>
    <xf numFmtId="164" fontId="0" fillId="3" borderId="11" xfId="1" applyNumberFormat="1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DC15-68B1-4543-81B2-89B9A4BA5176}">
  <dimension ref="A1:J17"/>
  <sheetViews>
    <sheetView zoomScale="145" zoomScaleNormal="145" workbookViewId="0">
      <selection activeCell="D11" sqref="D11:E11"/>
    </sheetView>
  </sheetViews>
  <sheetFormatPr defaultRowHeight="15" x14ac:dyDescent="0.25"/>
  <cols>
    <col min="1" max="1" width="34.28515625" customWidth="1"/>
    <col min="2" max="2" width="20.28515625" customWidth="1"/>
    <col min="3" max="4" width="34.28515625" customWidth="1"/>
    <col min="5" max="5" width="36.28515625" customWidth="1"/>
  </cols>
  <sheetData>
    <row r="1" spans="1:10" ht="54" customHeight="1" x14ac:dyDescent="0.25">
      <c r="A1" s="50" t="s">
        <v>32</v>
      </c>
      <c r="B1" s="51"/>
      <c r="C1" s="51"/>
      <c r="D1" s="51"/>
      <c r="E1" s="52"/>
      <c r="F1" s="1"/>
      <c r="G1" s="1"/>
      <c r="H1" s="1"/>
      <c r="I1" s="1"/>
      <c r="J1" s="1"/>
    </row>
    <row r="2" spans="1:10" ht="5.0999999999999996" customHeight="1" thickBot="1" x14ac:dyDescent="0.3">
      <c r="A2" s="38"/>
      <c r="B2" s="39"/>
      <c r="C2" s="39"/>
      <c r="D2" s="39"/>
      <c r="E2" s="40"/>
    </row>
    <row r="3" spans="1:10" s="3" customFormat="1" ht="35.1" customHeight="1" x14ac:dyDescent="0.25">
      <c r="A3" s="47" t="s">
        <v>14</v>
      </c>
      <c r="B3" s="48"/>
      <c r="C3" s="48"/>
      <c r="D3" s="48"/>
      <c r="E3" s="49"/>
    </row>
    <row r="4" spans="1:10" s="2" customFormat="1" ht="5.0999999999999996" customHeight="1" x14ac:dyDescent="0.25">
      <c r="A4" s="44"/>
      <c r="B4" s="45"/>
      <c r="C4" s="45"/>
      <c r="D4" s="45"/>
      <c r="E4" s="46"/>
    </row>
    <row r="5" spans="1:10" ht="20.100000000000001" customHeight="1" x14ac:dyDescent="0.25">
      <c r="A5" s="11" t="s">
        <v>6</v>
      </c>
      <c r="B5" s="12" t="s">
        <v>8</v>
      </c>
      <c r="C5" s="12" t="s">
        <v>7</v>
      </c>
      <c r="D5" s="53" t="s">
        <v>9</v>
      </c>
      <c r="E5" s="54"/>
    </row>
    <row r="6" spans="1:10" ht="20.100000000000001" customHeight="1" x14ac:dyDescent="0.25">
      <c r="A6" s="14" t="s">
        <v>23</v>
      </c>
      <c r="B6" s="4">
        <v>5</v>
      </c>
      <c r="C6" s="9" t="s">
        <v>15</v>
      </c>
      <c r="D6" s="55" t="s">
        <v>21</v>
      </c>
      <c r="E6" s="56"/>
    </row>
    <row r="7" spans="1:10" ht="20.100000000000001" customHeight="1" x14ac:dyDescent="0.25">
      <c r="A7" s="14" t="s">
        <v>16</v>
      </c>
      <c r="B7" s="4">
        <v>750</v>
      </c>
      <c r="C7" s="9" t="s">
        <v>25</v>
      </c>
      <c r="D7" s="55" t="s">
        <v>21</v>
      </c>
      <c r="E7" s="56"/>
    </row>
    <row r="8" spans="1:10" ht="20.100000000000001" customHeight="1" x14ac:dyDescent="0.25">
      <c r="A8" s="14" t="s">
        <v>22</v>
      </c>
      <c r="B8" s="4">
        <v>40</v>
      </c>
      <c r="C8" s="9" t="s">
        <v>24</v>
      </c>
      <c r="D8" s="55" t="s">
        <v>21</v>
      </c>
      <c r="E8" s="56"/>
    </row>
    <row r="9" spans="1:10" ht="20.100000000000001" customHeight="1" x14ac:dyDescent="0.25">
      <c r="A9" s="14" t="s">
        <v>17</v>
      </c>
      <c r="B9" s="4">
        <v>0.28999999999999998</v>
      </c>
      <c r="C9" s="9" t="s">
        <v>18</v>
      </c>
      <c r="D9" s="55" t="s">
        <v>40</v>
      </c>
      <c r="E9" s="56"/>
    </row>
    <row r="10" spans="1:10" ht="20.100000000000001" customHeight="1" x14ac:dyDescent="0.25">
      <c r="A10" s="14" t="s">
        <v>19</v>
      </c>
      <c r="B10" s="4">
        <v>5.4</v>
      </c>
      <c r="C10" s="9" t="s">
        <v>20</v>
      </c>
      <c r="D10" s="55" t="s">
        <v>28</v>
      </c>
      <c r="E10" s="56"/>
    </row>
    <row r="11" spans="1:10" ht="20.100000000000001" customHeight="1" thickBot="1" x14ac:dyDescent="0.3">
      <c r="A11" s="15" t="s">
        <v>26</v>
      </c>
      <c r="B11" s="5">
        <v>52</v>
      </c>
      <c r="C11" s="10" t="s">
        <v>27</v>
      </c>
      <c r="D11" s="57" t="s">
        <v>29</v>
      </c>
      <c r="E11" s="58"/>
    </row>
    <row r="12" spans="1:10" ht="5.0999999999999996" customHeight="1" thickBot="1" x14ac:dyDescent="0.3">
      <c r="A12" s="41"/>
      <c r="B12" s="42"/>
      <c r="C12" s="42"/>
      <c r="D12" s="42"/>
      <c r="E12" s="43"/>
    </row>
    <row r="13" spans="1:10" ht="35.1" customHeight="1" x14ac:dyDescent="0.25">
      <c r="A13" s="47" t="s">
        <v>0</v>
      </c>
      <c r="B13" s="48"/>
      <c r="C13" s="48"/>
      <c r="D13" s="48"/>
      <c r="E13" s="49"/>
    </row>
    <row r="14" spans="1:10" ht="5.0999999999999996" customHeight="1" x14ac:dyDescent="0.25">
      <c r="A14" s="44"/>
      <c r="B14" s="45"/>
      <c r="C14" s="45"/>
      <c r="D14" s="45"/>
      <c r="E14" s="46"/>
    </row>
    <row r="15" spans="1:10" ht="27" customHeight="1" x14ac:dyDescent="0.25">
      <c r="A15" s="11" t="s">
        <v>1</v>
      </c>
      <c r="B15" s="12" t="s">
        <v>2</v>
      </c>
      <c r="C15" s="12" t="s">
        <v>3</v>
      </c>
      <c r="D15" s="12" t="s">
        <v>4</v>
      </c>
      <c r="E15" s="13" t="s">
        <v>5</v>
      </c>
    </row>
    <row r="16" spans="1:10" x14ac:dyDescent="0.25">
      <c r="A16" s="8" t="s">
        <v>30</v>
      </c>
      <c r="B16" s="4" t="s">
        <v>33</v>
      </c>
      <c r="C16" s="9" t="s">
        <v>34</v>
      </c>
      <c r="D16" s="4" t="s">
        <v>11</v>
      </c>
      <c r="E16" s="6" t="s">
        <v>13</v>
      </c>
    </row>
    <row r="17" spans="1:5" ht="15.75" thickBot="1" x14ac:dyDescent="0.3">
      <c r="A17" s="20" t="s">
        <v>31</v>
      </c>
      <c r="B17" s="5" t="s">
        <v>10</v>
      </c>
      <c r="C17" s="10" t="s">
        <v>35</v>
      </c>
      <c r="D17" s="5" t="s">
        <v>12</v>
      </c>
      <c r="E17" s="7" t="s">
        <v>13</v>
      </c>
    </row>
  </sheetData>
  <mergeCells count="14">
    <mergeCell ref="A14:E14"/>
    <mergeCell ref="D8:E8"/>
    <mergeCell ref="D9:E9"/>
    <mergeCell ref="D10:E10"/>
    <mergeCell ref="D11:E11"/>
    <mergeCell ref="A2:E2"/>
    <mergeCell ref="A12:E12"/>
    <mergeCell ref="A4:E4"/>
    <mergeCell ref="A13:E13"/>
    <mergeCell ref="A1:E1"/>
    <mergeCell ref="A3:E3"/>
    <mergeCell ref="D5:E5"/>
    <mergeCell ref="D6:E6"/>
    <mergeCell ref="D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3AB53-D285-4256-B1F3-8A8F846329FC}">
  <dimension ref="A1:F10"/>
  <sheetViews>
    <sheetView zoomScale="150" zoomScaleNormal="150" workbookViewId="0">
      <selection sqref="A1:F1"/>
    </sheetView>
  </sheetViews>
  <sheetFormatPr defaultRowHeight="15" x14ac:dyDescent="0.25"/>
  <cols>
    <col min="1" max="1" width="48.5703125" customWidth="1"/>
    <col min="2" max="2" width="20.5703125" customWidth="1"/>
    <col min="3" max="3" width="21.85546875" bestFit="1" customWidth="1"/>
    <col min="4" max="4" width="18.5703125" bestFit="1" customWidth="1"/>
    <col min="5" max="5" width="19.85546875" bestFit="1" customWidth="1"/>
    <col min="6" max="6" width="40.140625" bestFit="1" customWidth="1"/>
  </cols>
  <sheetData>
    <row r="1" spans="1:6" ht="39.950000000000003" customHeight="1" x14ac:dyDescent="0.25">
      <c r="A1" s="35" t="s">
        <v>36</v>
      </c>
      <c r="B1" s="35"/>
      <c r="C1" s="35"/>
      <c r="D1" s="35"/>
      <c r="E1" s="35"/>
      <c r="F1" s="35"/>
    </row>
    <row r="2" spans="1:6" ht="5.0999999999999996" customHeight="1" x14ac:dyDescent="0.25">
      <c r="A2" s="36"/>
      <c r="B2" s="36"/>
      <c r="C2" s="36"/>
      <c r="D2" s="36"/>
      <c r="E2" s="36"/>
      <c r="F2" s="36"/>
    </row>
    <row r="3" spans="1:6" ht="30" customHeight="1" x14ac:dyDescent="0.25">
      <c r="A3" s="37" t="s">
        <v>14</v>
      </c>
      <c r="B3" s="37"/>
      <c r="C3" s="37"/>
      <c r="D3" s="37"/>
      <c r="E3" s="37"/>
      <c r="F3" s="37"/>
    </row>
    <row r="4" spans="1:6" ht="20.100000000000001" customHeight="1" x14ac:dyDescent="0.25">
      <c r="A4" s="16" t="s">
        <v>37</v>
      </c>
      <c r="B4" s="16" t="s">
        <v>4</v>
      </c>
      <c r="C4" s="16" t="s">
        <v>42</v>
      </c>
      <c r="D4" s="17" t="s">
        <v>38</v>
      </c>
      <c r="E4" s="17" t="s">
        <v>43</v>
      </c>
      <c r="F4" s="17" t="s">
        <v>53</v>
      </c>
    </row>
    <row r="5" spans="1:6" ht="20.100000000000001" customHeight="1" x14ac:dyDescent="0.25">
      <c r="A5" s="18" t="s">
        <v>41</v>
      </c>
      <c r="B5" s="19" t="s">
        <v>45</v>
      </c>
      <c r="C5" s="21">
        <v>278</v>
      </c>
      <c r="D5" s="23">
        <v>1</v>
      </c>
      <c r="E5" s="22">
        <f>C5*D5</f>
        <v>278</v>
      </c>
      <c r="F5" s="29" t="s">
        <v>49</v>
      </c>
    </row>
    <row r="6" spans="1:6" ht="20.100000000000001" customHeight="1" x14ac:dyDescent="0.25">
      <c r="A6" s="18" t="s">
        <v>44</v>
      </c>
      <c r="B6" s="19" t="s">
        <v>46</v>
      </c>
      <c r="C6" s="21">
        <v>118</v>
      </c>
      <c r="D6" s="23">
        <v>65</v>
      </c>
      <c r="E6" s="22">
        <f t="shared" ref="E6:E9" si="0">C6*D6</f>
        <v>7670</v>
      </c>
      <c r="F6" s="29" t="s">
        <v>48</v>
      </c>
    </row>
    <row r="7" spans="1:6" ht="20.100000000000001" customHeight="1" x14ac:dyDescent="0.25">
      <c r="A7" s="18" t="s">
        <v>47</v>
      </c>
      <c r="B7" s="19" t="s">
        <v>46</v>
      </c>
      <c r="C7" s="21">
        <v>5.4</v>
      </c>
      <c r="D7" s="23">
        <v>390</v>
      </c>
      <c r="E7" s="22">
        <f t="shared" si="0"/>
        <v>2106</v>
      </c>
      <c r="F7" s="29" t="s">
        <v>28</v>
      </c>
    </row>
    <row r="8" spans="1:6" ht="20.100000000000001" customHeight="1" x14ac:dyDescent="0.25">
      <c r="A8" s="18" t="s">
        <v>56</v>
      </c>
      <c r="B8" s="19" t="s">
        <v>46</v>
      </c>
      <c r="C8" s="21">
        <v>0.28999999999999998</v>
      </c>
      <c r="D8" s="23">
        <v>447.2</v>
      </c>
      <c r="E8" s="22">
        <f t="shared" si="0"/>
        <v>129.68799999999999</v>
      </c>
      <c r="F8" s="29" t="s">
        <v>62</v>
      </c>
    </row>
    <row r="9" spans="1:6" ht="20.100000000000001" customHeight="1" x14ac:dyDescent="0.25">
      <c r="A9" s="18" t="s">
        <v>50</v>
      </c>
      <c r="B9" s="19" t="s">
        <v>46</v>
      </c>
      <c r="C9" s="21">
        <v>50</v>
      </c>
      <c r="D9" s="23">
        <v>5</v>
      </c>
      <c r="E9" s="22">
        <f t="shared" si="0"/>
        <v>250</v>
      </c>
      <c r="F9" s="29" t="s">
        <v>52</v>
      </c>
    </row>
    <row r="10" spans="1:6" ht="20.100000000000001" customHeight="1" x14ac:dyDescent="0.25">
      <c r="A10" s="34" t="s">
        <v>51</v>
      </c>
      <c r="B10" s="34"/>
      <c r="C10" s="34"/>
      <c r="D10" s="34"/>
      <c r="E10" s="24">
        <f>SUM(E5:E9)</f>
        <v>10433.688</v>
      </c>
    </row>
  </sheetData>
  <mergeCells count="4">
    <mergeCell ref="A10:D10"/>
    <mergeCell ref="A1:F1"/>
    <mergeCell ref="A2:F2"/>
    <mergeCell ref="A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29AC6-6130-4739-B475-CA507A31D672}">
  <dimension ref="A1:F11"/>
  <sheetViews>
    <sheetView tabSelected="1" zoomScale="140" zoomScaleNormal="140" workbookViewId="0">
      <selection activeCell="D14" sqref="D14"/>
    </sheetView>
  </sheetViews>
  <sheetFormatPr defaultRowHeight="15" x14ac:dyDescent="0.25"/>
  <cols>
    <col min="1" max="1" width="37.5703125" bestFit="1" customWidth="1"/>
    <col min="2" max="2" width="15.85546875" customWidth="1"/>
    <col min="3" max="3" width="25.7109375" customWidth="1"/>
    <col min="4" max="4" width="23.140625" customWidth="1"/>
    <col min="5" max="5" width="36.5703125" customWidth="1"/>
    <col min="6" max="6" width="49.28515625" bestFit="1" customWidth="1"/>
  </cols>
  <sheetData>
    <row r="1" spans="1:6" ht="26.25" x14ac:dyDescent="0.25">
      <c r="A1" s="35" t="s">
        <v>94</v>
      </c>
      <c r="B1" s="35"/>
      <c r="C1" s="35"/>
      <c r="D1" s="35"/>
      <c r="E1" s="35"/>
      <c r="F1" s="35"/>
    </row>
    <row r="2" spans="1:6" ht="5.0999999999999996" customHeight="1" x14ac:dyDescent="0.25">
      <c r="A2" s="36"/>
      <c r="B2" s="36"/>
      <c r="C2" s="36"/>
      <c r="D2" s="36"/>
      <c r="E2" s="36"/>
      <c r="F2" s="36"/>
    </row>
    <row r="3" spans="1:6" ht="23.25" x14ac:dyDescent="0.25">
      <c r="A3" s="37" t="s">
        <v>14</v>
      </c>
      <c r="B3" s="37"/>
      <c r="C3" s="37"/>
      <c r="D3" s="37"/>
      <c r="E3" s="37"/>
      <c r="F3" s="37"/>
    </row>
    <row r="4" spans="1:6" ht="20.100000000000001" customHeight="1" x14ac:dyDescent="0.25">
      <c r="A4" s="16" t="s">
        <v>37</v>
      </c>
      <c r="B4" s="16" t="s">
        <v>4</v>
      </c>
      <c r="C4" s="16" t="s">
        <v>42</v>
      </c>
      <c r="D4" s="17" t="s">
        <v>38</v>
      </c>
      <c r="E4" s="17" t="s">
        <v>43</v>
      </c>
      <c r="F4" s="17" t="s">
        <v>39</v>
      </c>
    </row>
    <row r="5" spans="1:6" ht="20.100000000000001" customHeight="1" x14ac:dyDescent="0.25">
      <c r="A5" s="18" t="s">
        <v>41</v>
      </c>
      <c r="B5" s="19" t="s">
        <v>45</v>
      </c>
      <c r="C5" s="21">
        <v>349</v>
      </c>
      <c r="D5" s="23">
        <v>1</v>
      </c>
      <c r="E5" s="22">
        <f>C5*D5</f>
        <v>349</v>
      </c>
      <c r="F5" s="29" t="s">
        <v>54</v>
      </c>
    </row>
    <row r="6" spans="1:6" ht="20.100000000000001" customHeight="1" x14ac:dyDescent="0.25">
      <c r="A6" s="18" t="s">
        <v>57</v>
      </c>
      <c r="B6" s="19" t="s">
        <v>46</v>
      </c>
      <c r="C6" s="21">
        <v>48.2</v>
      </c>
      <c r="D6" s="23">
        <v>28</v>
      </c>
      <c r="E6" s="22">
        <f t="shared" ref="E6:E9" si="0">C6*D6</f>
        <v>1349.6000000000001</v>
      </c>
      <c r="F6" s="29" t="s">
        <v>58</v>
      </c>
    </row>
    <row r="7" spans="1:6" ht="20.100000000000001" customHeight="1" x14ac:dyDescent="0.25">
      <c r="A7" s="18" t="s">
        <v>47</v>
      </c>
      <c r="B7" s="19" t="s">
        <v>46</v>
      </c>
      <c r="C7" s="21">
        <v>5.4</v>
      </c>
      <c r="D7" s="23">
        <v>390</v>
      </c>
      <c r="E7" s="22">
        <f t="shared" si="0"/>
        <v>2106</v>
      </c>
      <c r="F7" s="29" t="s">
        <v>28</v>
      </c>
    </row>
    <row r="8" spans="1:6" ht="20.100000000000001" customHeight="1" x14ac:dyDescent="0.25">
      <c r="A8" s="18" t="s">
        <v>55</v>
      </c>
      <c r="B8" s="19" t="s">
        <v>46</v>
      </c>
      <c r="C8" s="21">
        <v>0.28999999999999998</v>
      </c>
      <c r="D8" s="23">
        <v>135.19999999999999</v>
      </c>
      <c r="E8" s="22">
        <f t="shared" si="0"/>
        <v>39.207999999999991</v>
      </c>
      <c r="F8" s="29" t="s">
        <v>61</v>
      </c>
    </row>
    <row r="9" spans="1:6" ht="20.100000000000001" customHeight="1" x14ac:dyDescent="0.25">
      <c r="A9" s="18" t="s">
        <v>50</v>
      </c>
      <c r="B9" s="19" t="s">
        <v>46</v>
      </c>
      <c r="C9" s="21">
        <v>50</v>
      </c>
      <c r="D9" s="23">
        <v>5</v>
      </c>
      <c r="E9" s="22">
        <f t="shared" si="0"/>
        <v>250</v>
      </c>
      <c r="F9" s="29" t="s">
        <v>52</v>
      </c>
    </row>
    <row r="10" spans="1:6" ht="20.100000000000001" customHeight="1" x14ac:dyDescent="0.25">
      <c r="A10" s="18" t="s">
        <v>60</v>
      </c>
      <c r="B10" s="19" t="s">
        <v>46</v>
      </c>
      <c r="C10" s="21">
        <v>349</v>
      </c>
      <c r="D10" s="23">
        <v>2</v>
      </c>
      <c r="E10" s="22">
        <f t="shared" ref="E10" si="1">C10*D10</f>
        <v>698</v>
      </c>
      <c r="F10" s="29" t="s">
        <v>59</v>
      </c>
    </row>
    <row r="11" spans="1:6" ht="20.100000000000001" customHeight="1" x14ac:dyDescent="0.25">
      <c r="A11" s="34" t="s">
        <v>51</v>
      </c>
      <c r="B11" s="34"/>
      <c r="C11" s="34"/>
      <c r="D11" s="34"/>
      <c r="E11" s="24">
        <f>SUM(E5:E10)</f>
        <v>4791.8080000000009</v>
      </c>
    </row>
  </sheetData>
  <mergeCells count="4">
    <mergeCell ref="A1:F1"/>
    <mergeCell ref="A2:F2"/>
    <mergeCell ref="A3:F3"/>
    <mergeCell ref="A11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92B58-ECC0-4A9E-B4F9-A3BAE5ED3704}">
  <dimension ref="A1:E23"/>
  <sheetViews>
    <sheetView zoomScale="85" zoomScaleNormal="85" workbookViewId="0">
      <selection activeCell="H18" sqref="H18"/>
    </sheetView>
  </sheetViews>
  <sheetFormatPr defaultRowHeight="15" x14ac:dyDescent="0.25"/>
  <cols>
    <col min="1" max="1" width="34" customWidth="1"/>
    <col min="2" max="5" width="25.7109375" customWidth="1"/>
  </cols>
  <sheetData>
    <row r="1" spans="1:5" ht="54" customHeight="1" x14ac:dyDescent="0.25">
      <c r="A1" s="50" t="s">
        <v>32</v>
      </c>
      <c r="B1" s="51"/>
      <c r="C1" s="51"/>
      <c r="D1" s="51"/>
      <c r="E1" s="52"/>
    </row>
    <row r="2" spans="1:5" ht="5.0999999999999996" customHeight="1" x14ac:dyDescent="0.25">
      <c r="A2" s="66"/>
      <c r="B2" s="66"/>
      <c r="C2" s="66"/>
      <c r="D2" s="66"/>
      <c r="E2" s="66"/>
    </row>
    <row r="3" spans="1:5" ht="35.1" customHeight="1" x14ac:dyDescent="0.25">
      <c r="A3" s="37" t="s">
        <v>63</v>
      </c>
      <c r="B3" s="37"/>
      <c r="C3" s="37"/>
      <c r="D3" s="37"/>
      <c r="E3" s="37"/>
    </row>
    <row r="4" spans="1:5" ht="20.100000000000001" customHeight="1" x14ac:dyDescent="0.25">
      <c r="A4" s="16" t="s">
        <v>37</v>
      </c>
      <c r="B4" s="16" t="s">
        <v>67</v>
      </c>
      <c r="C4" s="16" t="s">
        <v>70</v>
      </c>
      <c r="D4" s="16" t="s">
        <v>64</v>
      </c>
      <c r="E4" s="16" t="s">
        <v>65</v>
      </c>
    </row>
    <row r="5" spans="1:5" ht="20.100000000000001" customHeight="1" x14ac:dyDescent="0.25">
      <c r="A5" s="25" t="s">
        <v>66</v>
      </c>
      <c r="B5" s="31">
        <v>10433.688</v>
      </c>
      <c r="C5" s="31">
        <v>4791.8080000000009</v>
      </c>
      <c r="D5" s="32">
        <f>B5-C5</f>
        <v>5641.8799999999992</v>
      </c>
      <c r="E5" s="4" t="s">
        <v>71</v>
      </c>
    </row>
    <row r="6" spans="1:5" ht="20.100000000000001" customHeight="1" x14ac:dyDescent="0.25">
      <c r="A6" s="25" t="s">
        <v>68</v>
      </c>
      <c r="B6" s="31">
        <v>0.05</v>
      </c>
      <c r="C6" s="31">
        <v>0.02</v>
      </c>
      <c r="D6" s="32">
        <f t="shared" ref="D6:D7" si="0">B6-C6</f>
        <v>3.0000000000000002E-2</v>
      </c>
      <c r="E6" s="4" t="s">
        <v>71</v>
      </c>
    </row>
    <row r="7" spans="1:5" ht="20.100000000000001" customHeight="1" x14ac:dyDescent="0.25">
      <c r="A7" s="25" t="s">
        <v>69</v>
      </c>
      <c r="B7" s="31">
        <v>278</v>
      </c>
      <c r="C7" s="31">
        <v>349</v>
      </c>
      <c r="D7" s="33">
        <f t="shared" si="0"/>
        <v>-71</v>
      </c>
      <c r="E7" s="4" t="s">
        <v>71</v>
      </c>
    </row>
    <row r="8" spans="1:5" ht="5.0999999999999996" customHeight="1" x14ac:dyDescent="0.25">
      <c r="A8" s="62"/>
      <c r="B8" s="62"/>
      <c r="C8" s="62"/>
      <c r="D8" s="62"/>
      <c r="E8" s="62"/>
    </row>
    <row r="9" spans="1:5" ht="35.1" customHeight="1" x14ac:dyDescent="0.25">
      <c r="A9" s="37" t="s">
        <v>72</v>
      </c>
      <c r="B9" s="37"/>
      <c r="C9" s="37"/>
      <c r="D9" s="37"/>
      <c r="E9" s="37"/>
    </row>
    <row r="10" spans="1:5" ht="20.100000000000001" customHeight="1" x14ac:dyDescent="0.25">
      <c r="A10" s="16" t="s">
        <v>15</v>
      </c>
      <c r="B10" s="16" t="s">
        <v>11</v>
      </c>
      <c r="C10" s="16" t="s">
        <v>73</v>
      </c>
      <c r="D10" s="16" t="s">
        <v>74</v>
      </c>
      <c r="E10" s="16" t="s">
        <v>75</v>
      </c>
    </row>
    <row r="11" spans="1:5" ht="20.100000000000001" customHeight="1" x14ac:dyDescent="0.25">
      <c r="A11" s="26" t="s">
        <v>76</v>
      </c>
      <c r="B11" s="27">
        <f>D11</f>
        <v>2309.14</v>
      </c>
      <c r="C11" s="27">
        <f>E11</f>
        <v>1097.96</v>
      </c>
      <c r="D11" s="28">
        <v>2309.14</v>
      </c>
      <c r="E11" s="27">
        <v>1097.96</v>
      </c>
    </row>
    <row r="12" spans="1:5" ht="20.100000000000001" customHeight="1" x14ac:dyDescent="0.25">
      <c r="A12" s="26" t="s">
        <v>77</v>
      </c>
      <c r="B12" s="27">
        <f>B11+D12</f>
        <v>4340.28</v>
      </c>
      <c r="C12" s="27">
        <f>C11+E12</f>
        <v>1846.92</v>
      </c>
      <c r="D12" s="28">
        <v>2031.14</v>
      </c>
      <c r="E12" s="27">
        <v>748.96</v>
      </c>
    </row>
    <row r="13" spans="1:5" ht="20.100000000000001" customHeight="1" x14ac:dyDescent="0.25">
      <c r="A13" s="26" t="s">
        <v>78</v>
      </c>
      <c r="B13" s="27">
        <f t="shared" ref="B13:B15" si="1">B12+D13</f>
        <v>6371.42</v>
      </c>
      <c r="C13" s="27">
        <f t="shared" ref="C13:C15" si="2">C12+E13</f>
        <v>2944.88</v>
      </c>
      <c r="D13" s="28">
        <v>2031.14</v>
      </c>
      <c r="E13" s="27">
        <v>1097.96</v>
      </c>
    </row>
    <row r="14" spans="1:5" ht="20.100000000000001" customHeight="1" x14ac:dyDescent="0.25">
      <c r="A14" s="26" t="s">
        <v>79</v>
      </c>
      <c r="B14" s="27">
        <f t="shared" si="1"/>
        <v>8402.56</v>
      </c>
      <c r="C14" s="27">
        <f t="shared" si="2"/>
        <v>3693.84</v>
      </c>
      <c r="D14" s="28">
        <v>2031.14</v>
      </c>
      <c r="E14" s="27">
        <v>748.96</v>
      </c>
    </row>
    <row r="15" spans="1:5" ht="20.100000000000001" customHeight="1" x14ac:dyDescent="0.25">
      <c r="A15" s="26" t="s">
        <v>80</v>
      </c>
      <c r="B15" s="27">
        <f t="shared" si="1"/>
        <v>10433.699999999999</v>
      </c>
      <c r="C15" s="27">
        <f t="shared" si="2"/>
        <v>4791.8</v>
      </c>
      <c r="D15" s="28">
        <v>2031.14</v>
      </c>
      <c r="E15" s="27">
        <v>1097.96</v>
      </c>
    </row>
    <row r="16" spans="1:5" ht="5.0999999999999996" customHeight="1" x14ac:dyDescent="0.25">
      <c r="A16" s="62"/>
      <c r="B16" s="62"/>
      <c r="C16" s="62"/>
      <c r="D16" s="62"/>
      <c r="E16" s="62"/>
    </row>
    <row r="17" spans="1:5" ht="35.1" customHeight="1" x14ac:dyDescent="0.25">
      <c r="A17" s="37" t="s">
        <v>86</v>
      </c>
      <c r="B17" s="37"/>
      <c r="C17" s="37"/>
      <c r="D17" s="37"/>
      <c r="E17" s="37"/>
    </row>
    <row r="18" spans="1:5" ht="20.100000000000001" customHeight="1" x14ac:dyDescent="0.25">
      <c r="A18" s="16" t="s">
        <v>87</v>
      </c>
      <c r="B18" s="63" t="s">
        <v>88</v>
      </c>
      <c r="C18" s="64"/>
      <c r="D18" s="64"/>
      <c r="E18" s="65"/>
    </row>
    <row r="19" spans="1:5" ht="50.1" customHeight="1" x14ac:dyDescent="0.25">
      <c r="A19" s="30" t="s">
        <v>81</v>
      </c>
      <c r="B19" s="59" t="s">
        <v>89</v>
      </c>
      <c r="C19" s="60"/>
      <c r="D19" s="60"/>
      <c r="E19" s="61"/>
    </row>
    <row r="20" spans="1:5" ht="50.1" customHeight="1" x14ac:dyDescent="0.25">
      <c r="A20" s="30" t="s">
        <v>82</v>
      </c>
      <c r="B20" s="59" t="s">
        <v>90</v>
      </c>
      <c r="C20" s="60"/>
      <c r="D20" s="60"/>
      <c r="E20" s="61"/>
    </row>
    <row r="21" spans="1:5" ht="50.1" customHeight="1" x14ac:dyDescent="0.25">
      <c r="A21" s="30" t="s">
        <v>83</v>
      </c>
      <c r="B21" s="59" t="s">
        <v>91</v>
      </c>
      <c r="C21" s="60"/>
      <c r="D21" s="60"/>
      <c r="E21" s="61"/>
    </row>
    <row r="22" spans="1:5" ht="50.1" customHeight="1" x14ac:dyDescent="0.25">
      <c r="A22" s="30" t="s">
        <v>84</v>
      </c>
      <c r="B22" s="59" t="s">
        <v>92</v>
      </c>
      <c r="C22" s="60"/>
      <c r="D22" s="60"/>
      <c r="E22" s="61"/>
    </row>
    <row r="23" spans="1:5" ht="50.1" customHeight="1" x14ac:dyDescent="0.25">
      <c r="A23" s="30" t="s">
        <v>85</v>
      </c>
      <c r="B23" s="59" t="s">
        <v>93</v>
      </c>
      <c r="C23" s="60"/>
      <c r="D23" s="60"/>
      <c r="E23" s="61"/>
    </row>
  </sheetData>
  <mergeCells count="13">
    <mergeCell ref="A1:E1"/>
    <mergeCell ref="A3:E3"/>
    <mergeCell ref="A2:E2"/>
    <mergeCell ref="A9:E9"/>
    <mergeCell ref="A8:E8"/>
    <mergeCell ref="B21:E21"/>
    <mergeCell ref="B22:E22"/>
    <mergeCell ref="B23:E23"/>
    <mergeCell ref="A17:E17"/>
    <mergeCell ref="A16:E16"/>
    <mergeCell ref="B18:E18"/>
    <mergeCell ref="B19:E19"/>
    <mergeCell ref="B20:E20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Printer A</vt:lpstr>
      <vt:lpstr>Printer B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DXN Singapore</dc:creator>
  <cp:lastModifiedBy>DXN Singapore</cp:lastModifiedBy>
  <dcterms:created xsi:type="dcterms:W3CDTF">2026-04-02T03:08:19Z</dcterms:created>
  <dcterms:modified xsi:type="dcterms:W3CDTF">2026-04-02T08:55:49Z</dcterms:modified>
</cp:coreProperties>
</file>